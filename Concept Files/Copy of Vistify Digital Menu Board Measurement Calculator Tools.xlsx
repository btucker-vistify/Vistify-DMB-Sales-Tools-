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<sst xmlns="http://schemas.openxmlformats.org/spreadsheetml/2006/main" count="26" uniqueCount="14">
  <si>
    <t>Samsung / TCL / Sony - DMB Overall Measurement Calculator
(Commercial LFD Displays)</t>
  </si>
  <si>
    <t>Choose Screen Size from dropdown</t>
  </si>
  <si>
    <t>screen size</t>
  </si>
  <si>
    <t>Check Box if Landscape Orientation (Uncheck if Portriat)</t>
  </si>
  <si>
    <t>Number of Screens</t>
  </si>
  <si>
    <t>inches</t>
  </si>
  <si>
    <t>Overall Height</t>
  </si>
  <si>
    <t>Overall Width</t>
  </si>
  <si>
    <t>Strong Ceiling Mount Pole Length Calculator Tool
(Commercial LFD Displays / VESA on center)</t>
  </si>
  <si>
    <t>Floor to Mounting Surface Height</t>
  </si>
  <si>
    <t>Floor to Ceiling Height (if different than Mounting Surface, or leave blank)</t>
  </si>
  <si>
    <t>Floor to Screen Height (bottom edge of TV; note: 80" min is standard OSHA)</t>
  </si>
  <si>
    <t>Warning?</t>
  </si>
  <si>
    <t>Minimum Overall Pole Length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</si>
</sst>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18.0"/>
      <color theme="1"/>
      <name val="Arial"/>
      <scheme val="minor"/>
    </font>
    <font/>
    <font>
      <b/>
      <color theme="1"/>
      <name val="Arial"/>
      <scheme val="minor"/>
    </font>
    <font>
      <color theme="1"/>
      <name val="Arial"/>
      <scheme val="minor"/>
    </font>
  </fonts>
  <fills count="9">
    <fill>
      <patternFill patternType="none"/>
    </fill>
    <fill>
      <patternFill patternType="lightGray"/>
    </fill>
    <fill>
      <patternFill patternType="solid">
        <fgColor rgb="FFF3F3F3"/>
        <bgColor rgb="FFF3F3F3"/>
      </patternFill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CCCCCC"/>
        <bgColor rgb="FFCCCCCC"/>
      </patternFill>
    </fill>
    <fill>
      <patternFill patternType="solid">
        <fgColor rgb="FFB6D7A8"/>
        <bgColor rgb="FFB6D7A8"/>
      </patternFill>
    </fill>
    <fill>
      <patternFill patternType="solid">
        <fgColor rgb="FFD9D9D9"/>
        <bgColor rgb="FFD9D9D9"/>
      </patternFill>
    </fill>
    <fill>
      <patternFill patternType="solid">
        <fgColor rgb="FFFFFF00"/>
        <bgColor rgb="FFFFFF00"/>
      </patternFill>
    </fill>
  </fills>
  <borders count="16">
    <border/>
    <border>
      <left style="thick">
        <color rgb="FF000000"/>
      </left>
      <top style="thick">
        <color rgb="FF000000"/>
      </top>
      <bottom style="thick">
        <color rgb="FF000000"/>
      </bottom>
    </border>
    <border>
      <top style="thick">
        <color rgb="FF000000"/>
      </top>
      <bottom style="thick">
        <color rgb="FF000000"/>
      </bottom>
    </border>
    <border>
      <right style="thick">
        <color rgb="FF000000"/>
      </right>
      <top style="thick">
        <color rgb="FF000000"/>
      </top>
      <bottom style="thick">
        <color rgb="FF000000"/>
      </bottom>
    </border>
    <border>
      <left style="medium">
        <color rgb="FF000000"/>
      </left>
    </border>
    <border>
      <left style="medium">
        <color rgb="FF000000"/>
      </left>
      <right style="medium">
        <color rgb="FF000000"/>
      </right>
    </border>
    <border>
      <right style="medium">
        <color rgb="FF000000"/>
      </right>
    </border>
    <border>
      <left style="medium">
        <color rgb="FF000000"/>
      </left>
      <top style="medium">
        <color rgb="FF000000"/>
      </top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bottom style="medium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center"/>
    </xf>
    <xf borderId="2" fillId="0" fontId="2" numFmtId="0" xfId="0" applyBorder="1" applyFont="1"/>
    <xf borderId="3" fillId="0" fontId="2" numFmtId="0" xfId="0" applyBorder="1" applyFont="1"/>
    <xf borderId="4" fillId="0" fontId="3" numFmtId="0" xfId="0" applyAlignment="1" applyBorder="1" applyFont="1">
      <alignment readingOrder="0"/>
    </xf>
    <xf borderId="5" fillId="0" fontId="4" numFmtId="0" xfId="0" applyAlignment="1" applyBorder="1" applyFont="1">
      <alignment readingOrder="0"/>
    </xf>
    <xf borderId="6" fillId="3" fontId="4" numFmtId="0" xfId="0" applyAlignment="1" applyBorder="1" applyFill="1" applyFont="1">
      <alignment readingOrder="0"/>
    </xf>
    <xf borderId="0" fillId="4" fontId="4" numFmtId="0" xfId="0" applyFill="1" applyFont="1"/>
    <xf borderId="7" fillId="5" fontId="4" numFmtId="0" xfId="0" applyAlignment="1" applyBorder="1" applyFill="1" applyFont="1">
      <alignment readingOrder="0"/>
    </xf>
    <xf borderId="8" fillId="5" fontId="4" numFmtId="0" xfId="0" applyAlignment="1" applyBorder="1" applyFont="1">
      <alignment readingOrder="0"/>
    </xf>
    <xf borderId="9" fillId="5" fontId="4" numFmtId="0" xfId="0" applyAlignment="1" applyBorder="1" applyFont="1">
      <alignment readingOrder="0"/>
    </xf>
    <xf borderId="10" fillId="5" fontId="4" numFmtId="0" xfId="0" applyAlignment="1" applyBorder="1" applyFont="1">
      <alignment readingOrder="0"/>
    </xf>
    <xf borderId="11" fillId="5" fontId="4" numFmtId="0" xfId="0" applyAlignment="1" applyBorder="1" applyFont="1">
      <alignment readingOrder="0"/>
    </xf>
    <xf borderId="12" fillId="5" fontId="4" numFmtId="0" xfId="0" applyAlignment="1" applyBorder="1" applyFont="1">
      <alignment readingOrder="0"/>
    </xf>
    <xf borderId="13" fillId="6" fontId="3" numFmtId="0" xfId="0" applyAlignment="1" applyBorder="1" applyFill="1" applyFont="1">
      <alignment readingOrder="0"/>
    </xf>
    <xf borderId="14" fillId="6" fontId="4" numFmtId="0" xfId="0" applyBorder="1" applyFont="1"/>
    <xf borderId="15" fillId="6" fontId="4" numFmtId="0" xfId="0" applyAlignment="1" applyBorder="1" applyFont="1">
      <alignment readingOrder="0"/>
    </xf>
    <xf borderId="4" fillId="4" fontId="3" numFmtId="0" xfId="0" applyAlignment="1" applyBorder="1" applyFont="1">
      <alignment readingOrder="0"/>
    </xf>
    <xf borderId="5" fillId="4" fontId="4" numFmtId="0" xfId="0" applyAlignment="1" applyBorder="1" applyFont="1">
      <alignment readingOrder="0"/>
    </xf>
    <xf borderId="6" fillId="7" fontId="4" numFmtId="0" xfId="0" applyAlignment="1" applyBorder="1" applyFill="1" applyFont="1">
      <alignment readingOrder="0"/>
    </xf>
    <xf borderId="13" fillId="8" fontId="3" numFmtId="0" xfId="0" applyAlignment="1" applyBorder="1" applyFill="1" applyFont="1">
      <alignment readingOrder="0"/>
    </xf>
    <xf borderId="14" fillId="8" fontId="4" numFmtId="0" xfId="0" applyBorder="1" applyFont="1"/>
    <xf borderId="15" fillId="3" fontId="4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4.38"/>
    <col customWidth="1" min="2" max="2" width="13.38"/>
    <col customWidth="1" min="3" max="3" width="33.5"/>
  </cols>
  <sheetData>
    <row r="1">
      <c r="A1" s="1" t="s">
        <v>0</v>
      </c>
      <c r="B1" s="2"/>
      <c r="C1" s="3"/>
    </row>
    <row r="2">
      <c r="A2" s="4" t="s">
        <v>1</v>
      </c>
      <c r="B2" s="5">
        <v>65.0</v>
      </c>
      <c r="C2" s="6" t="s">
        <v>2</v>
      </c>
    </row>
    <row r="3">
      <c r="A3" s="4" t="s">
        <v>3</v>
      </c>
      <c r="B3" s="5" t="b">
        <v>1</v>
      </c>
      <c r="C3" s="6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</row>
    <row r="4">
      <c r="A4" s="4" t="s">
        <v>4</v>
      </c>
      <c r="B4" s="5">
        <v>3.0</v>
      </c>
      <c r="C4" s="6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</row>
    <row r="5">
      <c r="A5" s="8" t="str">
        <f>if(B3=true, "Screen Height", "Screen Width")</f>
        <v>Screen Height</v>
      </c>
      <c r="B5" s="9">
        <f>if(B2=32, 16.6, if(B2=43, 22, if(B2=50, 25.4, if(B2=55, 27.9, if(B2=65, 32.8, )))))</f>
        <v>32.8</v>
      </c>
      <c r="C5" s="10" t="s">
        <v>5</v>
      </c>
    </row>
    <row r="6">
      <c r="A6" s="11" t="str">
        <f>if(B3=true, "Screen Width", "Screen Height")</f>
        <v>Screen Width</v>
      </c>
      <c r="B6" s="12">
        <f>if(B2=32, 28.63, if(B2=43, 38.2, if(B2=50, 44.3, if(B2=55, 48.7, if(B2=65, 57.4, )))))</f>
        <v>57.4</v>
      </c>
      <c r="C6" s="13" t="s">
        <v>5</v>
      </c>
    </row>
    <row r="7">
      <c r="A7" s="14" t="s">
        <v>6</v>
      </c>
      <c r="B7" s="15">
        <f>IF(B3=true, B5, B6)</f>
        <v>32.8</v>
      </c>
      <c r="C7" s="16" t="s">
        <v>5</v>
      </c>
    </row>
    <row r="8">
      <c r="A8" s="14" t="s">
        <v>7</v>
      </c>
      <c r="B8" s="15">
        <f>if(B3=true, B6*B4, B5*B4)</f>
        <v>172.2</v>
      </c>
      <c r="C8" s="16" t="s">
        <v>5</v>
      </c>
    </row>
    <row r="13">
      <c r="A13" s="1" t="s">
        <v>8</v>
      </c>
      <c r="B13" s="2"/>
      <c r="C13" s="3"/>
    </row>
    <row r="14">
      <c r="A14" s="4" t="s">
        <v>1</v>
      </c>
      <c r="B14" s="5">
        <v>55.0</v>
      </c>
      <c r="C14" s="6" t="s">
        <v>2</v>
      </c>
    </row>
    <row r="15">
      <c r="A15" s="4" t="s">
        <v>3</v>
      </c>
      <c r="B15" s="5" t="b">
        <v>1</v>
      </c>
      <c r="C15" s="6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</row>
    <row r="16">
      <c r="A16" s="8" t="str">
        <f>if(B15=true, "Screen Height", "Screen Width")</f>
        <v>Screen Height</v>
      </c>
      <c r="B16" s="9">
        <f>if(B14=32, 16.6, if(B14=43, 22, if(B14=50, 25.4, if(B14=55, 27.9, if(B14=65, 32.8, )))))</f>
        <v>27.9</v>
      </c>
      <c r="C16" s="10" t="s">
        <v>5</v>
      </c>
    </row>
    <row r="17">
      <c r="A17" s="11" t="str">
        <f>if(B15=true, "Screen Width", "Screen Height")</f>
        <v>Screen Width</v>
      </c>
      <c r="B17" s="12">
        <f>if(B14=32, 28.63, if(B14=43, 38.2, if(B14=50, 44.3, if(B14=55, 48.7, if(B14=65, 57.4, )))))</f>
        <v>48.7</v>
      </c>
      <c r="C17" s="13" t="s">
        <v>5</v>
      </c>
    </row>
    <row r="18">
      <c r="A18" s="17" t="s">
        <v>9</v>
      </c>
      <c r="B18" s="18"/>
      <c r="C18" s="19" t="s">
        <v>5</v>
      </c>
    </row>
    <row r="19">
      <c r="A19" s="17" t="s">
        <v>10</v>
      </c>
      <c r="B19" s="18"/>
      <c r="C19" s="19" t="s">
        <v>5</v>
      </c>
    </row>
    <row r="20">
      <c r="A20" s="17" t="s">
        <v>11</v>
      </c>
      <c r="B20" s="18"/>
      <c r="C20" s="19" t="s">
        <v>5</v>
      </c>
    </row>
    <row r="21">
      <c r="A21" s="20" t="s">
        <v>12</v>
      </c>
      <c r="B21" s="21" t="str">
        <f> if(B19=0, if(B15=true, if(B20+B16&gt;B18, "clearance error", "clear"), if(B20+B17&gt;B18, "clearance error", "clear")), if(B15=true, if(B20+B16&gt;B19, "clearance error", "clear"), if(B20+B17&gt;B19, "clearance error", "clear")))</f>
        <v>clearance error</v>
      </c>
      <c r="C21" s="22"/>
    </row>
    <row r="22">
      <c r="A22" s="14" t="s">
        <v>13</v>
      </c>
      <c r="B22" s="15">
        <f>IF(B15=true, B18-(B20+B16/2+7.5), B18-(B20+B17/2+7.5))</f>
        <v>-21.45</v>
      </c>
      <c r="C22" s="16" t="s">
        <v>5</v>
      </c>
    </row>
  </sheetData>
  <mergeCells count="2">
    <mergeCell ref="A1:C1"/>
    <mergeCell ref="A13:C13"/>
  </mergeCells>
  <dataValidations>
    <dataValidation type="list" allowBlank="1" showErrorMessage="1" sqref="B4">
      <formula1>"1,2,3,4,5,6"</formula1>
    </dataValidation>
    <dataValidation type="list" allowBlank="1" showErrorMessage="1" sqref="B2 B14">
      <formula1>"32,43,50,55,65"</formula1>
    </dataValidation>
  </dataValidations>
  <drawing r:id="rId1"/>
</worksheet>
</file>